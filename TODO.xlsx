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<sst xmlns="http://schemas.openxmlformats.org/spreadsheetml/2006/main" count="403" uniqueCount="147">
  <si>
    <t xml:space="preserve">Avancement</t>
  </si>
  <si>
    <t xml:space="preserve">Module</t>
  </si>
  <si>
    <t xml:space="preserve">Nom page / Fichier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</si>
  <si>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</si>
  <si>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</si>
  <si>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</si>
  <si>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</si>
  <si>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</si>
  <si>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Qui</t>
  </si>
  <si>
    <t xml:space="preserve">Status</t>
  </si>
  <si>
    <t xml:space="preserve">Migrations</t>
  </si>
  <si>
    <t xml:space="preserve">CreateRhSchema.php</t>
  </si>
  <si>
    <t xml:space="preserve">Table departements</t>
  </si>
  <si>
    <t xml:space="preserve">Base</t>
  </si>
  <si>
    <t xml:space="preserve">duo</t>
  </si>
  <si>
    <t xml:space="preserve">OK</t>
  </si>
  <si>
    <t xml:space="preserve">Table employees</t>
  </si>
  <si>
    <t xml:space="preserve">Table types_conge</t>
  </si>
  <si>
    <t xml:space="preserve">Table soldes</t>
  </si>
  <si>
    <t xml:space="preserve">Table conges</t>
  </si>
  <si>
    <t xml:space="preserve">Seeders</t>
  </si>
  <si>
    <t xml:space="preserve">RhSeeder.php</t>
  </si>
  <si>
    <t xml:space="preserve">3 départements</t>
  </si>
  <si>
    <t xml:space="preserve">4 employés</t>
  </si>
  <si>
    <t xml:space="preserve">4 types de congé</t>
  </si>
  <si>
    <t xml:space="preserve">7 soldes 2025/2026</t>
  </si>
  <si>
    <t xml:space="preserve">10 demandes historique</t>
  </si>
  <si>
    <t xml:space="preserve">Config</t>
  </si>
  <si>
    <t xml:space="preserve">Database.php</t>
  </si>
  <si>
    <t xml:space="preserve">SQLite3 + RH.db racine</t>
  </si>
  <si>
    <t xml:space="preserve">Models</t>
  </si>
  <si>
    <t xml:space="preserve">EmployeeModel.php</t>
  </si>
  <si>
    <t xml:space="preserve">Auth + hashPassword hook</t>
  </si>
  <si>
    <t xml:space="preserve">Modèle</t>
  </si>
  <si>
    <t xml:space="preserve">Ny Aina</t>
  </si>
  <si>
    <t xml:space="preserve">DepartmentModel.php</t>
  </si>
  <si>
    <t xml:space="preserve">CRUD basique</t>
  </si>
  <si>
    <t xml:space="preserve">Harena</t>
  </si>
  <si>
    <t xml:space="preserve">LeaveTypeModel.php</t>
  </si>
  <si>
    <t xml:space="preserve">Gestion types de congé</t>
  </si>
  <si>
    <t xml:space="preserve">LeaveBalanceModel.php</t>
  </si>
  <si>
    <t xml:space="preserve">Suivi soldes par année</t>
  </si>
  <si>
    <t xml:space="preserve">LeaveRequestModel.php</t>
  </si>
  <si>
    <t xml:space="preserve">Gestion demandes</t>
  </si>
  <si>
    <t xml:space="preserve">Auth</t>
  </si>
  <si>
    <t xml:space="preserve">AuthController.php</t>
  </si>
  <si>
    <t xml:space="preserve">login() - formulaire</t>
  </si>
  <si>
    <t xml:space="preserve">Controller</t>
  </si>
  <si>
    <t xml:space="preserve">attemptLogin() - session</t>
  </si>
  <si>
    <t xml:space="preserve">logout()</t>
  </si>
  <si>
    <t xml:space="preserve">Employé</t>
  </si>
  <si>
    <t xml:space="preserve">EmployeeController.php</t>
  </si>
  <si>
    <t xml:space="preserve">dashboard() stats+soldes</t>
  </si>
  <si>
    <t xml:space="preserve">index() historique demandes</t>
  </si>
  <si>
    <t xml:space="preserve">create() formulaire</t>
  </si>
  <si>
    <t xml:space="preserve">store() + validation solde</t>
  </si>
  <si>
    <t xml:space="preserve">RH</t>
  </si>
  <si>
    <t xml:space="preserve">RhController.php</t>
  </si>
  <si>
    <t xml:space="preserve">dashboard() en attente</t>
  </si>
  <si>
    <t xml:space="preserve">index() toutes demandes</t>
  </si>
  <si>
    <t xml:space="preserve">approve() + MAJ solde</t>
  </si>
  <si>
    <t xml:space="preserve">refuse()</t>
  </si>
  <si>
    <t xml:space="preserve">Admin</t>
  </si>
  <si>
    <t xml:space="preserve">AdminController.php</t>
  </si>
  <si>
    <t xml:space="preserve">dashboard() stats globales</t>
  </si>
  <si>
    <t xml:space="preserve">employees() CRUD</t>
  </si>
  <si>
    <t xml:space="preserve">departements() CRUD</t>
  </si>
  <si>
    <t xml:space="preserve">typesConge() CRUD</t>
  </si>
  <si>
    <t xml:space="preserve">Vues</t>
  </si>
  <si>
    <t xml:space="preserve">layouts/auth.php</t>
  </si>
  <si>
    <t xml:space="preserve">Layout connexion</t>
  </si>
  <si>
    <t xml:space="preserve">Vue</t>
  </si>
  <si>
    <t xml:space="preserve">layouts/app.php</t>
  </si>
  <si>
    <t xml:space="preserve">Layout sidebar+topbar</t>
  </si>
  <si>
    <t xml:space="preserve">auth/login.php</t>
  </si>
  <si>
    <t xml:space="preserve">Formulaire connexion</t>
  </si>
  <si>
    <t xml:space="preserve">employee/dashboard.php</t>
  </si>
  <si>
    <t xml:space="preserve">Dashboard soldes+demandes</t>
  </si>
  <si>
    <t xml:space="preserve">employee/index.php</t>
  </si>
  <si>
    <t xml:space="preserve">Historique demandes</t>
  </si>
  <si>
    <t xml:space="preserve">employee/create.php</t>
  </si>
  <si>
    <t xml:space="preserve">Formulaire création</t>
  </si>
  <si>
    <t xml:space="preserve">rh/dashboard.php</t>
  </si>
  <si>
    <t xml:space="preserve">Demandes en attente</t>
  </si>
  <si>
    <t xml:space="preserve">rh/index.php</t>
  </si>
  <si>
    <t xml:space="preserve">Toutes les demandes</t>
  </si>
  <si>
    <t xml:space="preserve">admin/dashboard.php</t>
  </si>
  <si>
    <t xml:space="preserve">Stats globales</t>
  </si>
  <si>
    <t xml:space="preserve">admin/employes.php</t>
  </si>
  <si>
    <t xml:space="preserve">CRUD employés</t>
  </si>
  <si>
    <t xml:space="preserve">admin/departements.php</t>
  </si>
  <si>
    <t xml:space="preserve">CRUD départements</t>
  </si>
  <si>
    <t xml:space="preserve">admin/types_conge.php</t>
  </si>
  <si>
    <t xml:space="preserve">CRUD types de congé</t>
  </si>
  <si>
    <t xml:space="preserve">Sécurité</t>
  </si>
  <si>
    <t xml:space="preserve">AuthFilter.php</t>
  </si>
  <si>
    <t xml:space="preserve">Middleware auth + rôle</t>
  </si>
  <si>
    <t xml:space="preserve">Filtre</t>
  </si>
  <si>
    <t xml:space="preserve">Filters.php</t>
  </si>
  <si>
    <t xml:space="preserve">CSRF global + alias auth</t>
  </si>
  <si>
    <t xml:space="preserve">Routes</t>
  </si>
  <si>
    <t xml:space="preserve">Routes.php</t>
  </si>
  <si>
    <t xml:space="preserve">GET / → Home redirect</t>
  </si>
  <si>
    <t xml:space="preserve">Route</t>
  </si>
  <si>
    <t xml:space="preserve">GET/POST /login + /logout</t>
  </si>
  <si>
    <t xml:space="preserve">Groupe employee (4 routes)</t>
  </si>
  <si>
    <t xml:space="preserve">Groupe rh (4 routes)</t>
  </si>
  <si>
    <t xml:space="preserve">Groupe admin (6 routes)</t>
  </si>
  <si>
    <t xml:space="preserve">cancel() annuler demande en_attente</t>
  </si>
  <si>
    <t xml:space="preserve">Bouton annuler sur vue</t>
  </si>
  <si>
    <t xml:space="preserve">initSolde() initialiser solde annuel</t>
  </si>
  <si>
    <t xml:space="preserve">Doc</t>
  </si>
  <si>
    <t xml:space="preserve">README.md</t>
  </si>
  <si>
    <t xml:space="preserve">Instructions install + comptes test</t>
  </si>
  <si>
    <t xml:space="preserve">Assets</t>
  </si>
  <si>
    <t xml:space="preserve">chart.umd.min.js</t>
  </si>
  <si>
    <t xml:space="preserve">Chart.js offline</t>
  </si>
  <si>
    <t xml:space="preserve">Tâche</t>
  </si>
  <si>
    <t xml:space="preserve">tous</t>
  </si>
  <si>
    <t xml:space="preserve">index.global.min.js</t>
  </si>
  <si>
    <t xml:space="preserve">FullCalendar offline</t>
  </si>
  <si>
    <t xml:space="preserve">Graphiques congés par mois/jour</t>
  </si>
  <si>
    <t xml:space="preserve">Feature</t>
  </si>
  <si>
    <t xml:space="preserve">dashboard.php</t>
  </si>
  <si>
    <t xml:space="preserve">Graphiques mensuel + hebdo offline</t>
  </si>
  <si>
    <t xml:space="preserve">Employee</t>
  </si>
  <si>
    <t xml:space="preserve">Demandes employé + events calendrier</t>
  </si>
  <si>
    <t xml:space="preserve">Calendrier + histogramme offline</t>
  </si>
  <si>
    <t xml:space="preserve">UI</t>
  </si>
  <si>
    <t xml:space="preserve">Graphiques responsive mobile</t>
  </si>
  <si>
    <t xml:space="preserve">Improvement</t>
  </si>
  <si>
    <t xml:space="preserve">Dashboard admin responsive</t>
  </si>
  <si>
    <t xml:space="preserve">Performance</t>
  </si>
  <si>
    <t xml:space="preserve">AdminController.php / Employee</t>
  </si>
  <si>
    <t xml:space="preserve">Optimiser requêtes SQL GROUP BY</t>
  </si>
  <si>
    <t xml:space="preserve">Tests</t>
  </si>
  <si>
    <t xml:space="preserve">repo</t>
  </si>
  <si>
    <t xml:space="preserve">Tests visuels + unitaires graphiques</t>
  </si>
  <si>
    <t xml:space="preserve">Task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</si>
  <si>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</si>
  <si>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</si>
  <si>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</si>
  <si>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</si>
  <si>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</si>
  <si>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</si>
  <si>
    <t xml:space="preserve">Ligne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</si>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</sst>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\ 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95DCF7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DCF7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2" t="s">
        <v>0</v>
      </c>
      <c r="B1" s="3" t="n">
        <f aca="false">'avancement projet'!D2</f>
        <v>0.987730061349693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1" topLeftCell="A47" activePane="bottomLeft" state="frozen"/>
      <selection pane="topLeft" activeCell="A1" activeCellId="0" sqref="A1"/>
      <selection pane="bottomLeft" activeCell="E62" activeCellId="0" sqref="E6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9.96"/>
    <col collapsed="false" customWidth="true" hidden="false" outlineLevel="0" max="2" min="2" style="1" width="22.17"/>
    <col collapsed="false" customWidth="true" hidden="false" outlineLevel="0" max="3" min="3" style="1" width="27.12"/>
    <col collapsed="false" customWidth="true" hidden="false" outlineLevel="0" max="4" min="4" style="1" width="9.81"/>
    <col collapsed="false" customWidth="true" hidden="false" outlineLevel="0" max="5" min="5" style="1" width="11.88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13"/>
    <col collapsed="false" customWidth="true" hidden="false" outlineLevel="0" max="12" min="10" style="1" width="12"/>
  </cols>
  <sheetData>
    <row r="1" customFormat="false" ht="19.5" hidden="false" customHeight="true" outlineLevel="0" collapsed="false">
      <c r="A1" s="4" t="s">
        <v>1</v>
      </c>
      <c r="B1" s="4" t="s">
        <v>2</v>
      </c>
      <c r="C1" s="4" t="s">
        <v>3</v>
      </c>
      <c r="D1" s="4" t="s">
        <v>4</v>
      </c>
      <c r="E1" s="5" t="s">
        <v>5</v>
      </c>
      <c r="F1" s="4" t="s">
        <v>6</v>
      </c>
      <c r="G1" s="4" t="s">
        <v>7</v>
      </c>
      <c r="H1" s="4" t="s">
        <v>0</v>
      </c>
      <c r="I1" s="4" t="s">
        <v>8</v>
      </c>
      <c r="J1" s="4" t="s">
        <v>9</v>
      </c>
    </row>
    <row r="2" customFormat="false" ht="15" hidden="false" customHeight="true" outlineLevel="0" collapsed="false">
      <c r="A2" s="6" t="s">
        <v>10</v>
      </c>
      <c r="B2" s="6" t="s">
        <v>11</v>
      </c>
      <c r="C2" s="6" t="s">
        <v>12</v>
      </c>
      <c r="D2" s="6" t="s">
        <v>13</v>
      </c>
      <c r="E2" s="7" t="n">
        <v>10</v>
      </c>
      <c r="F2" s="6" t="n">
        <f aca="false">detail!B2</f>
        <v>0</v>
      </c>
      <c r="G2" s="6" t="n">
        <f aca="false">E2-F2</f>
        <v>10</v>
      </c>
      <c r="H2" s="8" t="n">
        <v>1</v>
      </c>
      <c r="I2" s="6" t="s">
        <v>14</v>
      </c>
      <c r="J2" s="6" t="s">
        <v>15</v>
      </c>
    </row>
    <row r="3" customFormat="false" ht="15" hidden="false" customHeight="true" outlineLevel="0" collapsed="false">
      <c r="A3" s="6" t="s">
        <v>10</v>
      </c>
      <c r="B3" s="6" t="s">
        <v>11</v>
      </c>
      <c r="C3" s="6" t="s">
        <v>16</v>
      </c>
      <c r="D3" s="6" t="s">
        <v>13</v>
      </c>
      <c r="E3" s="7" t="n">
        <v>10</v>
      </c>
      <c r="F3" s="6" t="n">
        <v>10</v>
      </c>
      <c r="G3" s="6" t="n">
        <v>0</v>
      </c>
      <c r="H3" s="8" t="n">
        <v>1</v>
      </c>
      <c r="I3" s="6" t="s">
        <v>14</v>
      </c>
      <c r="J3" s="6" t="s">
        <v>15</v>
      </c>
    </row>
    <row r="4" customFormat="false" ht="15" hidden="false" customHeight="true" outlineLevel="0" collapsed="false">
      <c r="A4" s="6" t="s">
        <v>10</v>
      </c>
      <c r="B4" s="6" t="s">
        <v>11</v>
      </c>
      <c r="C4" s="6" t="s">
        <v>17</v>
      </c>
      <c r="D4" s="6" t="s">
        <v>13</v>
      </c>
      <c r="E4" s="7" t="n">
        <v>10</v>
      </c>
      <c r="F4" s="6" t="n">
        <v>10</v>
      </c>
      <c r="G4" s="6" t="n">
        <v>0</v>
      </c>
      <c r="H4" s="8" t="n">
        <v>1</v>
      </c>
      <c r="I4" s="6" t="s">
        <v>14</v>
      </c>
      <c r="J4" s="6" t="s">
        <v>15</v>
      </c>
    </row>
    <row r="5" customFormat="false" ht="15" hidden="false" customHeight="true" outlineLevel="0" collapsed="false">
      <c r="A5" s="6" t="s">
        <v>10</v>
      </c>
      <c r="B5" s="6" t="s">
        <v>11</v>
      </c>
      <c r="C5" s="6" t="s">
        <v>18</v>
      </c>
      <c r="D5" s="6" t="s">
        <v>13</v>
      </c>
      <c r="E5" s="7" t="n">
        <v>10</v>
      </c>
      <c r="F5" s="6" t="n">
        <v>10</v>
      </c>
      <c r="G5" s="6" t="n">
        <v>0</v>
      </c>
      <c r="H5" s="8" t="n">
        <v>1</v>
      </c>
      <c r="I5" s="6" t="s">
        <v>14</v>
      </c>
      <c r="J5" s="6" t="s">
        <v>15</v>
      </c>
    </row>
    <row r="6" customFormat="false" ht="15" hidden="false" customHeight="true" outlineLevel="0" collapsed="false">
      <c r="A6" s="6" t="s">
        <v>10</v>
      </c>
      <c r="B6" s="6" t="s">
        <v>11</v>
      </c>
      <c r="C6" s="6" t="s">
        <v>19</v>
      </c>
      <c r="D6" s="6" t="s">
        <v>13</v>
      </c>
      <c r="E6" s="7" t="n">
        <v>10</v>
      </c>
      <c r="F6" s="6" t="n">
        <v>10</v>
      </c>
      <c r="G6" s="6" t="n">
        <v>0</v>
      </c>
      <c r="H6" s="8" t="n">
        <v>1</v>
      </c>
      <c r="I6" s="6" t="s">
        <v>14</v>
      </c>
      <c r="J6" s="6" t="s">
        <v>15</v>
      </c>
    </row>
    <row r="7" customFormat="false" ht="15" hidden="false" customHeight="true" outlineLevel="0" collapsed="false">
      <c r="A7" s="6" t="s">
        <v>20</v>
      </c>
      <c r="B7" s="6" t="s">
        <v>21</v>
      </c>
      <c r="C7" s="6" t="s">
        <v>22</v>
      </c>
      <c r="D7" s="6" t="s">
        <v>13</v>
      </c>
      <c r="E7" s="7" t="n">
        <v>5</v>
      </c>
      <c r="F7" s="6" t="n">
        <v>5</v>
      </c>
      <c r="G7" s="6" t="n">
        <v>0</v>
      </c>
      <c r="H7" s="8" t="n">
        <v>1</v>
      </c>
      <c r="I7" s="6" t="s">
        <v>14</v>
      </c>
      <c r="J7" s="6" t="s">
        <v>15</v>
      </c>
    </row>
    <row r="8" customFormat="false" ht="15" hidden="false" customHeight="true" outlineLevel="0" collapsed="false">
      <c r="A8" s="6" t="s">
        <v>20</v>
      </c>
      <c r="B8" s="6" t="s">
        <v>21</v>
      </c>
      <c r="C8" s="6" t="s">
        <v>23</v>
      </c>
      <c r="D8" s="6" t="s">
        <v>13</v>
      </c>
      <c r="E8" s="7" t="n">
        <v>5</v>
      </c>
      <c r="F8" s="6" t="n">
        <v>5</v>
      </c>
      <c r="G8" s="6" t="n">
        <v>0</v>
      </c>
      <c r="H8" s="8" t="n">
        <v>1</v>
      </c>
      <c r="I8" s="6" t="s">
        <v>14</v>
      </c>
      <c r="J8" s="6" t="s">
        <v>15</v>
      </c>
    </row>
    <row r="9" customFormat="false" ht="15" hidden="false" customHeight="true" outlineLevel="0" collapsed="false">
      <c r="A9" s="6" t="s">
        <v>20</v>
      </c>
      <c r="B9" s="6" t="s">
        <v>21</v>
      </c>
      <c r="C9" s="6" t="s">
        <v>24</v>
      </c>
      <c r="D9" s="6" t="s">
        <v>13</v>
      </c>
      <c r="E9" s="7" t="n">
        <v>5</v>
      </c>
      <c r="F9" s="6" t="n">
        <v>5</v>
      </c>
      <c r="G9" s="6" t="n">
        <v>0</v>
      </c>
      <c r="H9" s="8" t="n">
        <v>1</v>
      </c>
      <c r="I9" s="6" t="s">
        <v>14</v>
      </c>
      <c r="J9" s="6" t="s">
        <v>15</v>
      </c>
    </row>
    <row r="10" customFormat="false" ht="15" hidden="false" customHeight="true" outlineLevel="0" collapsed="false">
      <c r="A10" s="6" t="s">
        <v>20</v>
      </c>
      <c r="B10" s="6" t="s">
        <v>21</v>
      </c>
      <c r="C10" s="6" t="s">
        <v>25</v>
      </c>
      <c r="D10" s="6" t="s">
        <v>13</v>
      </c>
      <c r="E10" s="7" t="n">
        <v>5</v>
      </c>
      <c r="F10" s="6" t="n">
        <v>5</v>
      </c>
      <c r="G10" s="6" t="n">
        <v>0</v>
      </c>
      <c r="H10" s="8" t="n">
        <v>1</v>
      </c>
      <c r="I10" s="6" t="s">
        <v>14</v>
      </c>
      <c r="J10" s="6" t="s">
        <v>15</v>
      </c>
    </row>
    <row r="11" customFormat="false" ht="15" hidden="false" customHeight="true" outlineLevel="0" collapsed="false">
      <c r="A11" s="6" t="s">
        <v>20</v>
      </c>
      <c r="B11" s="6" t="s">
        <v>21</v>
      </c>
      <c r="C11" s="6" t="s">
        <v>26</v>
      </c>
      <c r="D11" s="6" t="s">
        <v>13</v>
      </c>
      <c r="E11" s="7" t="n">
        <v>5</v>
      </c>
      <c r="F11" s="6" t="n">
        <v>5</v>
      </c>
      <c r="G11" s="6" t="n">
        <v>0</v>
      </c>
      <c r="H11" s="8" t="n">
        <v>1</v>
      </c>
      <c r="I11" s="6" t="s">
        <v>14</v>
      </c>
      <c r="J11" s="6" t="s">
        <v>15</v>
      </c>
    </row>
    <row r="12" customFormat="false" ht="15" hidden="false" customHeight="true" outlineLevel="0" collapsed="false">
      <c r="A12" s="6" t="s">
        <v>27</v>
      </c>
      <c r="B12" s="6" t="s">
        <v>28</v>
      </c>
      <c r="C12" s="6" t="s">
        <v>29</v>
      </c>
      <c r="D12" s="6" t="s">
        <v>27</v>
      </c>
      <c r="E12" s="7" t="n">
        <v>10</v>
      </c>
      <c r="F12" s="6" t="n">
        <v>10</v>
      </c>
      <c r="G12" s="6" t="n">
        <v>0</v>
      </c>
      <c r="H12" s="8" t="n">
        <v>1</v>
      </c>
      <c r="I12" s="6" t="s">
        <v>14</v>
      </c>
      <c r="J12" s="6" t="s">
        <v>15</v>
      </c>
    </row>
    <row r="13" customFormat="false" ht="15" hidden="false" customHeight="true" outlineLevel="0" collapsed="false">
      <c r="A13" s="6" t="s">
        <v>30</v>
      </c>
      <c r="B13" s="6" t="s">
        <v>31</v>
      </c>
      <c r="C13" s="6" t="s">
        <v>32</v>
      </c>
      <c r="D13" s="6" t="s">
        <v>33</v>
      </c>
      <c r="E13" s="7" t="n">
        <v>20</v>
      </c>
      <c r="F13" s="6" t="n">
        <v>20</v>
      </c>
      <c r="G13" s="6" t="n">
        <v>0</v>
      </c>
      <c r="H13" s="8" t="n">
        <v>1</v>
      </c>
      <c r="I13" s="6" t="s">
        <v>34</v>
      </c>
      <c r="J13" s="6" t="s">
        <v>15</v>
      </c>
    </row>
    <row r="14" customFormat="false" ht="15" hidden="false" customHeight="true" outlineLevel="0" collapsed="false">
      <c r="A14" s="6" t="s">
        <v>30</v>
      </c>
      <c r="B14" s="6" t="s">
        <v>35</v>
      </c>
      <c r="C14" s="6" t="s">
        <v>36</v>
      </c>
      <c r="D14" s="6" t="s">
        <v>33</v>
      </c>
      <c r="E14" s="7" t="n">
        <v>10</v>
      </c>
      <c r="F14" s="6" t="n">
        <v>10</v>
      </c>
      <c r="G14" s="6" t="n">
        <v>0</v>
      </c>
      <c r="H14" s="8" t="n">
        <v>1</v>
      </c>
      <c r="I14" s="6" t="s">
        <v>37</v>
      </c>
      <c r="J14" s="6" t="s">
        <v>15</v>
      </c>
    </row>
    <row r="15" customFormat="false" ht="15" hidden="false" customHeight="true" outlineLevel="0" collapsed="false">
      <c r="A15" s="6" t="s">
        <v>30</v>
      </c>
      <c r="B15" s="6" t="s">
        <v>38</v>
      </c>
      <c r="C15" s="6" t="s">
        <v>39</v>
      </c>
      <c r="D15" s="6" t="s">
        <v>33</v>
      </c>
      <c r="E15" s="7" t="n">
        <v>10</v>
      </c>
      <c r="F15" s="6" t="n">
        <v>10</v>
      </c>
      <c r="G15" s="6" t="n">
        <v>0</v>
      </c>
      <c r="H15" s="8" t="n">
        <v>1</v>
      </c>
      <c r="I15" s="6" t="s">
        <v>37</v>
      </c>
      <c r="J15" s="6" t="s">
        <v>15</v>
      </c>
    </row>
    <row r="16" customFormat="false" ht="15" hidden="false" customHeight="true" outlineLevel="0" collapsed="false">
      <c r="A16" s="6" t="s">
        <v>30</v>
      </c>
      <c r="B16" s="6" t="s">
        <v>40</v>
      </c>
      <c r="C16" s="6" t="s">
        <v>41</v>
      </c>
      <c r="D16" s="6" t="s">
        <v>33</v>
      </c>
      <c r="E16" s="7" t="n">
        <v>15</v>
      </c>
      <c r="F16" s="6" t="n">
        <v>15</v>
      </c>
      <c r="G16" s="6" t="n">
        <v>0</v>
      </c>
      <c r="H16" s="8" t="n">
        <v>1</v>
      </c>
      <c r="I16" s="6" t="s">
        <v>37</v>
      </c>
      <c r="J16" s="6" t="s">
        <v>15</v>
      </c>
    </row>
    <row r="17" customFormat="false" ht="15" hidden="false" customHeight="true" outlineLevel="0" collapsed="false">
      <c r="A17" s="6" t="s">
        <v>30</v>
      </c>
      <c r="B17" s="6" t="s">
        <v>42</v>
      </c>
      <c r="C17" s="6" t="s">
        <v>43</v>
      </c>
      <c r="D17" s="6" t="s">
        <v>33</v>
      </c>
      <c r="E17" s="7" t="n">
        <v>15</v>
      </c>
      <c r="F17" s="6" t="n">
        <v>15</v>
      </c>
      <c r="G17" s="6" t="n">
        <v>0</v>
      </c>
      <c r="H17" s="8" t="n">
        <v>1</v>
      </c>
      <c r="I17" s="6" t="s">
        <v>34</v>
      </c>
      <c r="J17" s="6" t="s">
        <v>15</v>
      </c>
    </row>
    <row r="18" customFormat="false" ht="15" hidden="false" customHeight="true" outlineLevel="0" collapsed="false">
      <c r="A18" s="6" t="s">
        <v>44</v>
      </c>
      <c r="B18" s="6" t="s">
        <v>45</v>
      </c>
      <c r="C18" s="6" t="s">
        <v>46</v>
      </c>
      <c r="D18" s="6" t="s">
        <v>47</v>
      </c>
      <c r="E18" s="7" t="n">
        <v>15</v>
      </c>
      <c r="F18" s="6" t="n">
        <v>15</v>
      </c>
      <c r="G18" s="6" t="n">
        <v>0</v>
      </c>
      <c r="H18" s="8" t="n">
        <v>1</v>
      </c>
      <c r="I18" s="6" t="s">
        <v>34</v>
      </c>
      <c r="J18" s="6" t="s">
        <v>15</v>
      </c>
    </row>
    <row r="19" customFormat="false" ht="15" hidden="false" customHeight="true" outlineLevel="0" collapsed="false">
      <c r="A19" s="6" t="s">
        <v>44</v>
      </c>
      <c r="B19" s="6" t="s">
        <v>45</v>
      </c>
      <c r="C19" s="6" t="s">
        <v>48</v>
      </c>
      <c r="D19" s="6" t="s">
        <v>47</v>
      </c>
      <c r="E19" s="7" t="n">
        <v>20</v>
      </c>
      <c r="F19" s="6" t="n">
        <v>20</v>
      </c>
      <c r="G19" s="6" t="n">
        <v>0</v>
      </c>
      <c r="H19" s="8" t="n">
        <v>1</v>
      </c>
      <c r="I19" s="6" t="s">
        <v>34</v>
      </c>
      <c r="J19" s="6" t="s">
        <v>15</v>
      </c>
    </row>
    <row r="20" customFormat="false" ht="15" hidden="false" customHeight="true" outlineLevel="0" collapsed="false">
      <c r="A20" s="6" t="s">
        <v>44</v>
      </c>
      <c r="B20" s="6" t="s">
        <v>45</v>
      </c>
      <c r="C20" s="6" t="s">
        <v>49</v>
      </c>
      <c r="D20" s="6" t="s">
        <v>47</v>
      </c>
      <c r="E20" s="7" t="n">
        <v>5</v>
      </c>
      <c r="F20" s="6" t="n">
        <v>5</v>
      </c>
      <c r="G20" s="6" t="n">
        <v>0</v>
      </c>
      <c r="H20" s="8" t="n">
        <v>1</v>
      </c>
      <c r="I20" s="6" t="s">
        <v>34</v>
      </c>
      <c r="J20" s="6" t="s">
        <v>15</v>
      </c>
    </row>
    <row r="21" customFormat="false" ht="15" hidden="false" customHeight="true" outlineLevel="0" collapsed="false">
      <c r="A21" s="6" t="s">
        <v>50</v>
      </c>
      <c r="B21" s="6" t="s">
        <v>51</v>
      </c>
      <c r="C21" s="6" t="s">
        <v>52</v>
      </c>
      <c r="D21" s="6" t="s">
        <v>47</v>
      </c>
      <c r="E21" s="7" t="n">
        <v>30</v>
      </c>
      <c r="F21" s="6" t="n">
        <v>30</v>
      </c>
      <c r="G21" s="6" t="n">
        <v>0</v>
      </c>
      <c r="H21" s="8" t="n">
        <v>1</v>
      </c>
      <c r="I21" s="6" t="s">
        <v>37</v>
      </c>
      <c r="J21" s="6" t="s">
        <v>15</v>
      </c>
    </row>
    <row r="22" customFormat="false" ht="15" hidden="false" customHeight="true" outlineLevel="0" collapsed="false">
      <c r="A22" s="6" t="s">
        <v>50</v>
      </c>
      <c r="B22" s="6" t="s">
        <v>51</v>
      </c>
      <c r="C22" s="6" t="s">
        <v>53</v>
      </c>
      <c r="D22" s="6" t="s">
        <v>47</v>
      </c>
      <c r="E22" s="7" t="n">
        <v>20</v>
      </c>
      <c r="F22" s="6" t="n">
        <v>20</v>
      </c>
      <c r="G22" s="6" t="n">
        <v>0</v>
      </c>
      <c r="H22" s="8" t="n">
        <v>1</v>
      </c>
      <c r="I22" s="6" t="s">
        <v>37</v>
      </c>
      <c r="J22" s="6" t="s">
        <v>15</v>
      </c>
    </row>
    <row r="23" customFormat="false" ht="15" hidden="false" customHeight="true" outlineLevel="0" collapsed="false">
      <c r="A23" s="6" t="s">
        <v>50</v>
      </c>
      <c r="B23" s="6" t="s">
        <v>51</v>
      </c>
      <c r="C23" s="6" t="s">
        <v>54</v>
      </c>
      <c r="D23" s="6" t="s">
        <v>47</v>
      </c>
      <c r="E23" s="7" t="n">
        <v>20</v>
      </c>
      <c r="F23" s="6" t="n">
        <v>20</v>
      </c>
      <c r="G23" s="6" t="n">
        <v>0</v>
      </c>
      <c r="H23" s="8" t="n">
        <v>1</v>
      </c>
      <c r="I23" s="6" t="s">
        <v>37</v>
      </c>
      <c r="J23" s="6" t="s">
        <v>15</v>
      </c>
    </row>
    <row r="24" customFormat="false" ht="15" hidden="false" customHeight="true" outlineLevel="0" collapsed="false">
      <c r="A24" s="6" t="s">
        <v>50</v>
      </c>
      <c r="B24" s="6" t="s">
        <v>51</v>
      </c>
      <c r="C24" s="6" t="s">
        <v>55</v>
      </c>
      <c r="D24" s="6" t="s">
        <v>47</v>
      </c>
      <c r="E24" s="7" t="n">
        <v>30</v>
      </c>
      <c r="F24" s="6" t="n">
        <v>30</v>
      </c>
      <c r="G24" s="6" t="n">
        <v>0</v>
      </c>
      <c r="H24" s="8" t="n">
        <v>1</v>
      </c>
      <c r="I24" s="6" t="s">
        <v>37</v>
      </c>
      <c r="J24" s="6" t="s">
        <v>15</v>
      </c>
    </row>
    <row r="25" customFormat="false" ht="15" hidden="false" customHeight="true" outlineLevel="0" collapsed="false">
      <c r="A25" s="6" t="s">
        <v>56</v>
      </c>
      <c r="B25" s="6" t="s">
        <v>57</v>
      </c>
      <c r="C25" s="6" t="s">
        <v>58</v>
      </c>
      <c r="D25" s="6" t="s">
        <v>47</v>
      </c>
      <c r="E25" s="7" t="n">
        <v>20</v>
      </c>
      <c r="F25" s="6" t="n">
        <v>20</v>
      </c>
      <c r="G25" s="6" t="n">
        <v>0</v>
      </c>
      <c r="H25" s="8" t="n">
        <v>1</v>
      </c>
      <c r="I25" s="6" t="s">
        <v>34</v>
      </c>
      <c r="J25" s="6" t="s">
        <v>15</v>
      </c>
    </row>
    <row r="26" customFormat="false" ht="15" hidden="false" customHeight="true" outlineLevel="0" collapsed="false">
      <c r="A26" s="6" t="s">
        <v>56</v>
      </c>
      <c r="B26" s="6" t="s">
        <v>57</v>
      </c>
      <c r="C26" s="6" t="s">
        <v>59</v>
      </c>
      <c r="D26" s="6" t="s">
        <v>47</v>
      </c>
      <c r="E26" s="7" t="n">
        <v>15</v>
      </c>
      <c r="F26" s="6" t="n">
        <v>15</v>
      </c>
      <c r="G26" s="6" t="n">
        <v>0</v>
      </c>
      <c r="H26" s="8" t="n">
        <v>1</v>
      </c>
      <c r="I26" s="6" t="s">
        <v>34</v>
      </c>
      <c r="J26" s="6" t="s">
        <v>15</v>
      </c>
    </row>
    <row r="27" customFormat="false" ht="15" hidden="false" customHeight="true" outlineLevel="0" collapsed="false">
      <c r="A27" s="6" t="s">
        <v>56</v>
      </c>
      <c r="B27" s="6" t="s">
        <v>57</v>
      </c>
      <c r="C27" s="6" t="s">
        <v>60</v>
      </c>
      <c r="D27" s="6" t="s">
        <v>47</v>
      </c>
      <c r="E27" s="7" t="n">
        <v>30</v>
      </c>
      <c r="F27" s="6" t="n">
        <v>30</v>
      </c>
      <c r="G27" s="6" t="n">
        <v>0</v>
      </c>
      <c r="H27" s="8" t="n">
        <v>1</v>
      </c>
      <c r="I27" s="6" t="s">
        <v>34</v>
      </c>
      <c r="J27" s="6" t="s">
        <v>15</v>
      </c>
    </row>
    <row r="28" customFormat="false" ht="15" hidden="false" customHeight="true" outlineLevel="0" collapsed="false">
      <c r="A28" s="6" t="s">
        <v>56</v>
      </c>
      <c r="B28" s="6" t="s">
        <v>57</v>
      </c>
      <c r="C28" s="6" t="s">
        <v>61</v>
      </c>
      <c r="D28" s="6" t="s">
        <v>47</v>
      </c>
      <c r="E28" s="7" t="n">
        <v>15</v>
      </c>
      <c r="F28" s="6" t="n">
        <v>15</v>
      </c>
      <c r="G28" s="6" t="n">
        <v>0</v>
      </c>
      <c r="H28" s="8" t="n">
        <v>1</v>
      </c>
      <c r="I28" s="6" t="s">
        <v>34</v>
      </c>
      <c r="J28" s="6" t="s">
        <v>15</v>
      </c>
    </row>
    <row r="29" customFormat="false" ht="15" hidden="false" customHeight="true" outlineLevel="0" collapsed="false">
      <c r="A29" s="6" t="s">
        <v>62</v>
      </c>
      <c r="B29" s="6" t="s">
        <v>63</v>
      </c>
      <c r="C29" s="6" t="s">
        <v>64</v>
      </c>
      <c r="D29" s="6" t="s">
        <v>47</v>
      </c>
      <c r="E29" s="7" t="n">
        <v>20</v>
      </c>
      <c r="F29" s="6" t="n">
        <v>20</v>
      </c>
      <c r="G29" s="6" t="n">
        <v>0</v>
      </c>
      <c r="H29" s="8" t="n">
        <v>1</v>
      </c>
      <c r="I29" s="6" t="s">
        <v>37</v>
      </c>
      <c r="J29" s="6" t="s">
        <v>15</v>
      </c>
    </row>
    <row r="30" customFormat="false" ht="15" hidden="false" customHeight="true" outlineLevel="0" collapsed="false">
      <c r="A30" s="6" t="s">
        <v>62</v>
      </c>
      <c r="B30" s="6" t="s">
        <v>63</v>
      </c>
      <c r="C30" s="6" t="s">
        <v>65</v>
      </c>
      <c r="D30" s="6" t="s">
        <v>47</v>
      </c>
      <c r="E30" s="7" t="n">
        <v>30</v>
      </c>
      <c r="F30" s="6" t="n">
        <v>30</v>
      </c>
      <c r="G30" s="6" t="n">
        <v>0</v>
      </c>
      <c r="H30" s="8" t="n">
        <v>1</v>
      </c>
      <c r="I30" s="6" t="s">
        <v>37</v>
      </c>
      <c r="J30" s="6" t="s">
        <v>15</v>
      </c>
    </row>
    <row r="31" customFormat="false" ht="15" hidden="false" customHeight="true" outlineLevel="0" collapsed="false">
      <c r="A31" s="6" t="s">
        <v>62</v>
      </c>
      <c r="B31" s="6" t="s">
        <v>63</v>
      </c>
      <c r="C31" s="6" t="s">
        <v>66</v>
      </c>
      <c r="D31" s="6" t="s">
        <v>47</v>
      </c>
      <c r="E31" s="7" t="n">
        <v>20</v>
      </c>
      <c r="F31" s="6" t="n">
        <v>20</v>
      </c>
      <c r="G31" s="6" t="n">
        <v>0</v>
      </c>
      <c r="H31" s="8" t="n">
        <v>1</v>
      </c>
      <c r="I31" s="6" t="s">
        <v>37</v>
      </c>
      <c r="J31" s="6" t="s">
        <v>15</v>
      </c>
    </row>
    <row r="32" customFormat="false" ht="15" hidden="false" customHeight="true" outlineLevel="0" collapsed="false">
      <c r="A32" s="6" t="s">
        <v>62</v>
      </c>
      <c r="B32" s="6" t="s">
        <v>63</v>
      </c>
      <c r="C32" s="6" t="s">
        <v>67</v>
      </c>
      <c r="D32" s="6" t="s">
        <v>47</v>
      </c>
      <c r="E32" s="7" t="n">
        <v>20</v>
      </c>
      <c r="F32" s="6" t="n">
        <v>20</v>
      </c>
      <c r="G32" s="6" t="n">
        <v>0</v>
      </c>
      <c r="H32" s="8" t="n">
        <v>1</v>
      </c>
      <c r="I32" s="6" t="s">
        <v>37</v>
      </c>
      <c r="J32" s="6" t="s">
        <v>15</v>
      </c>
    </row>
    <row r="33" customFormat="false" ht="15" hidden="false" customHeight="true" outlineLevel="0" collapsed="false">
      <c r="A33" s="6" t="s">
        <v>68</v>
      </c>
      <c r="B33" s="6" t="s">
        <v>69</v>
      </c>
      <c r="C33" s="6" t="s">
        <v>70</v>
      </c>
      <c r="D33" s="6" t="s">
        <v>71</v>
      </c>
      <c r="E33" s="7" t="n">
        <v>15</v>
      </c>
      <c r="F33" s="6" t="n">
        <v>15</v>
      </c>
      <c r="G33" s="6" t="n">
        <v>0</v>
      </c>
      <c r="H33" s="8" t="n">
        <v>1</v>
      </c>
      <c r="I33" s="6" t="s">
        <v>14</v>
      </c>
      <c r="J33" s="6" t="s">
        <v>15</v>
      </c>
    </row>
    <row r="34" customFormat="false" ht="15" hidden="false" customHeight="true" outlineLevel="0" collapsed="false">
      <c r="A34" s="6" t="s">
        <v>68</v>
      </c>
      <c r="B34" s="6" t="s">
        <v>72</v>
      </c>
      <c r="C34" s="6" t="s">
        <v>73</v>
      </c>
      <c r="D34" s="6" t="s">
        <v>71</v>
      </c>
      <c r="E34" s="7" t="n">
        <v>20</v>
      </c>
      <c r="F34" s="6" t="n">
        <v>20</v>
      </c>
      <c r="G34" s="6" t="n">
        <v>0</v>
      </c>
      <c r="H34" s="8" t="n">
        <v>1</v>
      </c>
      <c r="I34" s="6" t="s">
        <v>14</v>
      </c>
      <c r="J34" s="6" t="s">
        <v>15</v>
      </c>
    </row>
    <row r="35" customFormat="false" ht="15" hidden="false" customHeight="true" outlineLevel="0" collapsed="false">
      <c r="A35" s="6" t="s">
        <v>68</v>
      </c>
      <c r="B35" s="6" t="s">
        <v>74</v>
      </c>
      <c r="C35" s="6" t="s">
        <v>75</v>
      </c>
      <c r="D35" s="6" t="s">
        <v>71</v>
      </c>
      <c r="E35" s="7" t="n">
        <v>15</v>
      </c>
      <c r="F35" s="6" t="n">
        <v>15</v>
      </c>
      <c r="G35" s="6" t="n">
        <v>0</v>
      </c>
      <c r="H35" s="8" t="n">
        <v>1</v>
      </c>
      <c r="I35" s="6" t="s">
        <v>14</v>
      </c>
      <c r="J35" s="6" t="s">
        <v>15</v>
      </c>
    </row>
    <row r="36" customFormat="false" ht="15" hidden="false" customHeight="true" outlineLevel="0" collapsed="false">
      <c r="A36" s="6" t="s">
        <v>68</v>
      </c>
      <c r="B36" s="6" t="s">
        <v>76</v>
      </c>
      <c r="C36" s="6" t="s">
        <v>77</v>
      </c>
      <c r="D36" s="6" t="s">
        <v>71</v>
      </c>
      <c r="E36" s="7" t="n">
        <v>20</v>
      </c>
      <c r="F36" s="6" t="n">
        <v>20</v>
      </c>
      <c r="G36" s="6" t="n">
        <v>0</v>
      </c>
      <c r="H36" s="8" t="n">
        <v>1</v>
      </c>
      <c r="I36" s="6" t="s">
        <v>14</v>
      </c>
      <c r="J36" s="6" t="s">
        <v>15</v>
      </c>
    </row>
    <row r="37" customFormat="false" ht="15" hidden="false" customHeight="true" outlineLevel="0" collapsed="false">
      <c r="A37" s="6" t="s">
        <v>68</v>
      </c>
      <c r="B37" s="6" t="s">
        <v>78</v>
      </c>
      <c r="C37" s="6" t="s">
        <v>79</v>
      </c>
      <c r="D37" s="6" t="s">
        <v>71</v>
      </c>
      <c r="E37" s="7" t="n">
        <v>15</v>
      </c>
      <c r="F37" s="6" t="n">
        <v>15</v>
      </c>
      <c r="G37" s="6" t="n">
        <v>0</v>
      </c>
      <c r="H37" s="8" t="n">
        <v>1</v>
      </c>
      <c r="I37" s="6" t="s">
        <v>14</v>
      </c>
      <c r="J37" s="6" t="s">
        <v>15</v>
      </c>
    </row>
    <row r="38" customFormat="false" ht="15" hidden="false" customHeight="true" outlineLevel="0" collapsed="false">
      <c r="A38" s="6" t="s">
        <v>68</v>
      </c>
      <c r="B38" s="6" t="s">
        <v>80</v>
      </c>
      <c r="C38" s="6" t="s">
        <v>81</v>
      </c>
      <c r="D38" s="6" t="s">
        <v>71</v>
      </c>
      <c r="E38" s="7" t="n">
        <v>15</v>
      </c>
      <c r="F38" s="6" t="n">
        <v>15</v>
      </c>
      <c r="G38" s="6" t="n">
        <v>0</v>
      </c>
      <c r="H38" s="8" t="n">
        <v>1</v>
      </c>
      <c r="I38" s="6" t="s">
        <v>14</v>
      </c>
      <c r="J38" s="6" t="s">
        <v>15</v>
      </c>
    </row>
    <row r="39" customFormat="false" ht="15" hidden="false" customHeight="true" outlineLevel="0" collapsed="false">
      <c r="A39" s="6" t="s">
        <v>68</v>
      </c>
      <c r="B39" s="6" t="s">
        <v>82</v>
      </c>
      <c r="C39" s="6" t="s">
        <v>83</v>
      </c>
      <c r="D39" s="6" t="s">
        <v>71</v>
      </c>
      <c r="E39" s="7" t="n">
        <v>15</v>
      </c>
      <c r="F39" s="6" t="n">
        <v>15</v>
      </c>
      <c r="G39" s="6" t="n">
        <v>0</v>
      </c>
      <c r="H39" s="8" t="n">
        <v>1</v>
      </c>
      <c r="I39" s="6" t="s">
        <v>14</v>
      </c>
      <c r="J39" s="6" t="s">
        <v>15</v>
      </c>
    </row>
    <row r="40" customFormat="false" ht="15" hidden="false" customHeight="true" outlineLevel="0" collapsed="false">
      <c r="A40" s="6" t="s">
        <v>68</v>
      </c>
      <c r="B40" s="6" t="s">
        <v>84</v>
      </c>
      <c r="C40" s="6" t="s">
        <v>85</v>
      </c>
      <c r="D40" s="6" t="s">
        <v>71</v>
      </c>
      <c r="E40" s="7" t="n">
        <v>15</v>
      </c>
      <c r="F40" s="6" t="n">
        <v>15</v>
      </c>
      <c r="G40" s="6" t="n">
        <v>0</v>
      </c>
      <c r="H40" s="8" t="n">
        <v>1</v>
      </c>
      <c r="I40" s="6" t="s">
        <v>14</v>
      </c>
      <c r="J40" s="6" t="s">
        <v>15</v>
      </c>
    </row>
    <row r="41" customFormat="false" ht="15" hidden="false" customHeight="true" outlineLevel="0" collapsed="false">
      <c r="A41" s="6" t="s">
        <v>68</v>
      </c>
      <c r="B41" s="6" t="s">
        <v>86</v>
      </c>
      <c r="C41" s="6" t="s">
        <v>87</v>
      </c>
      <c r="D41" s="6" t="s">
        <v>71</v>
      </c>
      <c r="E41" s="7" t="n">
        <v>15</v>
      </c>
      <c r="F41" s="6" t="n">
        <v>15</v>
      </c>
      <c r="G41" s="6" t="n">
        <v>0</v>
      </c>
      <c r="H41" s="8" t="n">
        <v>1</v>
      </c>
      <c r="I41" s="6" t="s">
        <v>14</v>
      </c>
      <c r="J41" s="6" t="s">
        <v>15</v>
      </c>
    </row>
    <row r="42" customFormat="false" ht="15" hidden="false" customHeight="true" outlineLevel="0" collapsed="false">
      <c r="A42" s="6" t="s">
        <v>68</v>
      </c>
      <c r="B42" s="6" t="s">
        <v>88</v>
      </c>
      <c r="C42" s="6" t="s">
        <v>89</v>
      </c>
      <c r="D42" s="6" t="s">
        <v>71</v>
      </c>
      <c r="E42" s="7" t="n">
        <v>20</v>
      </c>
      <c r="F42" s="6" t="n">
        <v>20</v>
      </c>
      <c r="G42" s="6" t="n">
        <v>0</v>
      </c>
      <c r="H42" s="8" t="n">
        <v>1</v>
      </c>
      <c r="I42" s="6" t="s">
        <v>14</v>
      </c>
      <c r="J42" s="6" t="s">
        <v>15</v>
      </c>
    </row>
    <row r="43" customFormat="false" ht="15" hidden="false" customHeight="true" outlineLevel="0" collapsed="false">
      <c r="A43" s="6" t="s">
        <v>68</v>
      </c>
      <c r="B43" s="6" t="s">
        <v>90</v>
      </c>
      <c r="C43" s="6" t="s">
        <v>91</v>
      </c>
      <c r="D43" s="6" t="s">
        <v>71</v>
      </c>
      <c r="E43" s="7" t="n">
        <v>15</v>
      </c>
      <c r="F43" s="6" t="n">
        <v>15</v>
      </c>
      <c r="G43" s="6" t="n">
        <v>0</v>
      </c>
      <c r="H43" s="8" t="n">
        <v>1</v>
      </c>
      <c r="I43" s="6" t="s">
        <v>14</v>
      </c>
      <c r="J43" s="6" t="s">
        <v>15</v>
      </c>
    </row>
    <row r="44" customFormat="false" ht="15" hidden="false" customHeight="true" outlineLevel="0" collapsed="false">
      <c r="A44" s="6" t="s">
        <v>68</v>
      </c>
      <c r="B44" s="6" t="s">
        <v>92</v>
      </c>
      <c r="C44" s="6" t="s">
        <v>93</v>
      </c>
      <c r="D44" s="6" t="s">
        <v>71</v>
      </c>
      <c r="E44" s="7" t="n">
        <v>15</v>
      </c>
      <c r="F44" s="6" t="n">
        <v>15</v>
      </c>
      <c r="G44" s="6" t="n">
        <v>0</v>
      </c>
      <c r="H44" s="8" t="n">
        <v>1</v>
      </c>
      <c r="I44" s="6" t="s">
        <v>14</v>
      </c>
      <c r="J44" s="6" t="s">
        <v>15</v>
      </c>
    </row>
    <row r="45" customFormat="false" ht="15" hidden="false" customHeight="true" outlineLevel="0" collapsed="false">
      <c r="A45" s="6" t="s">
        <v>94</v>
      </c>
      <c r="B45" s="6" t="s">
        <v>95</v>
      </c>
      <c r="C45" s="6" t="s">
        <v>96</v>
      </c>
      <c r="D45" s="6" t="s">
        <v>97</v>
      </c>
      <c r="E45" s="7" t="n">
        <v>20</v>
      </c>
      <c r="F45" s="6" t="n">
        <v>20</v>
      </c>
      <c r="G45" s="6" t="n">
        <v>0</v>
      </c>
      <c r="H45" s="8" t="n">
        <v>1</v>
      </c>
      <c r="I45" s="6" t="s">
        <v>34</v>
      </c>
      <c r="J45" s="6" t="s">
        <v>15</v>
      </c>
    </row>
    <row r="46" customFormat="false" ht="15" hidden="false" customHeight="true" outlineLevel="0" collapsed="false">
      <c r="A46" s="6" t="s">
        <v>94</v>
      </c>
      <c r="B46" s="6" t="s">
        <v>98</v>
      </c>
      <c r="C46" s="6" t="s">
        <v>99</v>
      </c>
      <c r="D46" s="6" t="s">
        <v>27</v>
      </c>
      <c r="E46" s="7" t="n">
        <v>10</v>
      </c>
      <c r="F46" s="6" t="n">
        <v>10</v>
      </c>
      <c r="G46" s="6" t="n">
        <v>0</v>
      </c>
      <c r="H46" s="8" t="n">
        <v>1</v>
      </c>
      <c r="I46" s="6" t="s">
        <v>34</v>
      </c>
      <c r="J46" s="6" t="s">
        <v>15</v>
      </c>
    </row>
    <row r="47" customFormat="false" ht="15" hidden="false" customHeight="true" outlineLevel="0" collapsed="false">
      <c r="A47" s="6" t="s">
        <v>100</v>
      </c>
      <c r="B47" s="6" t="s">
        <v>101</v>
      </c>
      <c r="C47" s="6" t="s">
        <v>102</v>
      </c>
      <c r="D47" s="6" t="s">
        <v>103</v>
      </c>
      <c r="E47" s="7" t="n">
        <v>5</v>
      </c>
      <c r="F47" s="6" t="n">
        <v>5</v>
      </c>
      <c r="G47" s="6" t="n">
        <v>0</v>
      </c>
      <c r="H47" s="8" t="n">
        <v>1</v>
      </c>
      <c r="I47" s="6" t="s">
        <v>37</v>
      </c>
      <c r="J47" s="6" t="s">
        <v>15</v>
      </c>
    </row>
    <row r="48" customFormat="false" ht="15" hidden="false" customHeight="true" outlineLevel="0" collapsed="false">
      <c r="A48" s="6" t="s">
        <v>100</v>
      </c>
      <c r="B48" s="6" t="s">
        <v>101</v>
      </c>
      <c r="C48" s="6" t="s">
        <v>104</v>
      </c>
      <c r="D48" s="6" t="s">
        <v>103</v>
      </c>
      <c r="E48" s="7" t="n">
        <v>5</v>
      </c>
      <c r="F48" s="6" t="n">
        <v>5</v>
      </c>
      <c r="G48" s="6" t="n">
        <v>0</v>
      </c>
      <c r="H48" s="8" t="n">
        <v>1</v>
      </c>
      <c r="I48" s="6" t="s">
        <v>37</v>
      </c>
      <c r="J48" s="6" t="s">
        <v>15</v>
      </c>
    </row>
    <row r="49" customFormat="false" ht="15" hidden="false" customHeight="true" outlineLevel="0" collapsed="false">
      <c r="A49" s="6" t="s">
        <v>100</v>
      </c>
      <c r="B49" s="6" t="s">
        <v>101</v>
      </c>
      <c r="C49" s="6" t="s">
        <v>105</v>
      </c>
      <c r="D49" s="6" t="s">
        <v>103</v>
      </c>
      <c r="E49" s="7" t="n">
        <v>10</v>
      </c>
      <c r="F49" s="6" t="n">
        <v>10</v>
      </c>
      <c r="G49" s="6" t="n">
        <v>0</v>
      </c>
      <c r="H49" s="8" t="n">
        <v>1</v>
      </c>
      <c r="I49" s="6" t="s">
        <v>37</v>
      </c>
      <c r="J49" s="6" t="s">
        <v>15</v>
      </c>
    </row>
    <row r="50" customFormat="false" ht="15" hidden="false" customHeight="true" outlineLevel="0" collapsed="false">
      <c r="A50" s="6" t="s">
        <v>100</v>
      </c>
      <c r="B50" s="6" t="s">
        <v>101</v>
      </c>
      <c r="C50" s="6" t="s">
        <v>106</v>
      </c>
      <c r="D50" s="6" t="s">
        <v>103</v>
      </c>
      <c r="E50" s="7" t="n">
        <v>10</v>
      </c>
      <c r="F50" s="6" t="n">
        <v>10</v>
      </c>
      <c r="G50" s="6" t="n">
        <v>0</v>
      </c>
      <c r="H50" s="8" t="n">
        <v>1</v>
      </c>
      <c r="I50" s="6" t="s">
        <v>37</v>
      </c>
      <c r="J50" s="6" t="s">
        <v>15</v>
      </c>
    </row>
    <row r="51" customFormat="false" ht="15" hidden="false" customHeight="true" outlineLevel="0" collapsed="false">
      <c r="A51" s="6" t="s">
        <v>100</v>
      </c>
      <c r="B51" s="6" t="s">
        <v>101</v>
      </c>
      <c r="C51" s="6" t="s">
        <v>107</v>
      </c>
      <c r="D51" s="6" t="s">
        <v>103</v>
      </c>
      <c r="E51" s="7" t="n">
        <v>10</v>
      </c>
      <c r="F51" s="6" t="n">
        <v>10</v>
      </c>
      <c r="G51" s="6" t="n">
        <v>0</v>
      </c>
      <c r="H51" s="8" t="n">
        <v>1</v>
      </c>
      <c r="I51" s="6" t="s">
        <v>37</v>
      </c>
      <c r="J51" s="6" t="s">
        <v>15</v>
      </c>
    </row>
    <row r="52" customFormat="false" ht="15" hidden="false" customHeight="true" outlineLevel="0" collapsed="false">
      <c r="A52" s="6" t="s">
        <v>50</v>
      </c>
      <c r="B52" s="6" t="s">
        <v>51</v>
      </c>
      <c r="C52" s="6" t="s">
        <v>108</v>
      </c>
      <c r="D52" s="6" t="s">
        <v>47</v>
      </c>
      <c r="E52" s="7" t="n">
        <v>15</v>
      </c>
      <c r="F52" s="6" t="n">
        <v>15</v>
      </c>
      <c r="G52" s="6" t="n">
        <v>0</v>
      </c>
      <c r="H52" s="8" t="n">
        <v>1</v>
      </c>
      <c r="I52" s="6" t="s">
        <v>34</v>
      </c>
      <c r="J52" s="6" t="s">
        <v>15</v>
      </c>
    </row>
    <row r="53" customFormat="false" ht="15" hidden="false" customHeight="true" outlineLevel="0" collapsed="false">
      <c r="A53" s="6" t="s">
        <v>50</v>
      </c>
      <c r="B53" s="6" t="s">
        <v>78</v>
      </c>
      <c r="C53" s="6" t="s">
        <v>109</v>
      </c>
      <c r="D53" s="6" t="s">
        <v>71</v>
      </c>
      <c r="E53" s="7" t="n">
        <v>10</v>
      </c>
      <c r="F53" s="6" t="n">
        <v>10</v>
      </c>
      <c r="G53" s="6" t="n">
        <v>0</v>
      </c>
      <c r="H53" s="8" t="n">
        <v>1</v>
      </c>
      <c r="I53" s="6" t="s">
        <v>34</v>
      </c>
      <c r="J53" s="6" t="s">
        <v>15</v>
      </c>
    </row>
    <row r="54" customFormat="false" ht="15" hidden="false" customHeight="true" outlineLevel="0" collapsed="false">
      <c r="A54" s="6" t="s">
        <v>62</v>
      </c>
      <c r="B54" s="6" t="s">
        <v>63</v>
      </c>
      <c r="C54" s="6" t="s">
        <v>110</v>
      </c>
      <c r="D54" s="6" t="s">
        <v>47</v>
      </c>
      <c r="E54" s="7" t="n">
        <v>20</v>
      </c>
      <c r="F54" s="6" t="n">
        <v>20</v>
      </c>
      <c r="G54" s="6" t="n">
        <v>0</v>
      </c>
      <c r="H54" s="8" t="n">
        <v>1</v>
      </c>
      <c r="I54" s="6" t="s">
        <v>34</v>
      </c>
      <c r="J54" s="6" t="s">
        <v>15</v>
      </c>
    </row>
    <row r="55" customFormat="false" ht="15" hidden="false" customHeight="true" outlineLevel="0" collapsed="false">
      <c r="A55" s="6" t="s">
        <v>111</v>
      </c>
      <c r="B55" s="6" t="s">
        <v>112</v>
      </c>
      <c r="C55" s="6" t="s">
        <v>113</v>
      </c>
      <c r="D55" s="6" t="s">
        <v>111</v>
      </c>
      <c r="E55" s="7" t="n">
        <v>20</v>
      </c>
      <c r="F55" s="6" t="n">
        <v>20</v>
      </c>
      <c r="G55" s="6" t="n">
        <v>0</v>
      </c>
      <c r="H55" s="8" t="n">
        <v>1</v>
      </c>
      <c r="I55" s="6" t="s">
        <v>37</v>
      </c>
      <c r="J55" s="6" t="s">
        <v>15</v>
      </c>
    </row>
    <row r="56" customFormat="false" ht="15" hidden="false" customHeight="true" outlineLevel="0" collapsed="false">
      <c r="A56" s="6" t="s">
        <v>114</v>
      </c>
      <c r="B56" s="6" t="s">
        <v>115</v>
      </c>
      <c r="C56" s="6" t="s">
        <v>116</v>
      </c>
      <c r="D56" s="6" t="s">
        <v>117</v>
      </c>
      <c r="E56" s="7" t="n">
        <v>10</v>
      </c>
      <c r="F56" s="6" t="n">
        <v>10</v>
      </c>
      <c r="G56" s="6" t="n">
        <v>0</v>
      </c>
      <c r="H56" s="8" t="n">
        <v>1</v>
      </c>
      <c r="I56" s="6" t="s">
        <v>118</v>
      </c>
      <c r="J56" s="6" t="s">
        <v>15</v>
      </c>
    </row>
    <row r="57" customFormat="false" ht="15" hidden="false" customHeight="true" outlineLevel="0" collapsed="false">
      <c r="A57" s="6" t="s">
        <v>114</v>
      </c>
      <c r="B57" s="6" t="s">
        <v>119</v>
      </c>
      <c r="C57" s="6" t="s">
        <v>120</v>
      </c>
      <c r="D57" s="6" t="s">
        <v>117</v>
      </c>
      <c r="E57" s="7" t="n">
        <v>10</v>
      </c>
      <c r="F57" s="6" t="n">
        <v>10</v>
      </c>
      <c r="G57" s="6" t="n">
        <v>0</v>
      </c>
      <c r="H57" s="8" t="n">
        <v>1</v>
      </c>
      <c r="I57" s="6" t="s">
        <v>118</v>
      </c>
      <c r="J57" s="6" t="s">
        <v>15</v>
      </c>
    </row>
    <row r="58" customFormat="false" ht="15" hidden="false" customHeight="true" outlineLevel="0" collapsed="false">
      <c r="A58" s="6" t="s">
        <v>62</v>
      </c>
      <c r="B58" s="6" t="s">
        <v>63</v>
      </c>
      <c r="C58" s="6" t="s">
        <v>121</v>
      </c>
      <c r="D58" s="6" t="s">
        <v>122</v>
      </c>
      <c r="E58" s="7" t="n">
        <v>20</v>
      </c>
      <c r="F58" s="6" t="n">
        <v>20</v>
      </c>
      <c r="G58" s="6" t="n">
        <v>0</v>
      </c>
      <c r="H58" s="8" t="n">
        <v>1</v>
      </c>
      <c r="I58" s="6" t="s">
        <v>118</v>
      </c>
      <c r="J58" s="6" t="s">
        <v>15</v>
      </c>
    </row>
    <row r="59" customFormat="false" ht="15" hidden="false" customHeight="true" outlineLevel="0" collapsed="false">
      <c r="A59" s="6" t="s">
        <v>62</v>
      </c>
      <c r="B59" s="6" t="s">
        <v>123</v>
      </c>
      <c r="C59" s="6" t="s">
        <v>124</v>
      </c>
      <c r="D59" s="6" t="s">
        <v>122</v>
      </c>
      <c r="E59" s="7" t="n">
        <v>20</v>
      </c>
      <c r="F59" s="6" t="n">
        <v>20</v>
      </c>
      <c r="G59" s="6" t="n">
        <v>0</v>
      </c>
      <c r="H59" s="8" t="n">
        <v>1</v>
      </c>
      <c r="I59" s="6" t="s">
        <v>118</v>
      </c>
      <c r="J59" s="6" t="s">
        <v>15</v>
      </c>
    </row>
    <row r="60" customFormat="false" ht="15" hidden="false" customHeight="true" outlineLevel="0" collapsed="false">
      <c r="A60" s="6" t="s">
        <v>125</v>
      </c>
      <c r="B60" s="6" t="s">
        <v>51</v>
      </c>
      <c r="C60" s="6" t="s">
        <v>126</v>
      </c>
      <c r="D60" s="6" t="s">
        <v>122</v>
      </c>
      <c r="E60" s="7" t="n">
        <v>20</v>
      </c>
      <c r="F60" s="6" t="n">
        <v>20</v>
      </c>
      <c r="G60" s="6" t="n">
        <v>0</v>
      </c>
      <c r="H60" s="8" t="n">
        <v>1</v>
      </c>
      <c r="I60" s="6" t="s">
        <v>118</v>
      </c>
      <c r="J60" s="6" t="s">
        <v>15</v>
      </c>
    </row>
    <row r="61" customFormat="false" ht="15" hidden="false" customHeight="true" outlineLevel="0" collapsed="false">
      <c r="A61" s="6" t="s">
        <v>125</v>
      </c>
      <c r="B61" s="6" t="s">
        <v>123</v>
      </c>
      <c r="C61" s="6" t="s">
        <v>127</v>
      </c>
      <c r="D61" s="6" t="s">
        <v>122</v>
      </c>
      <c r="E61" s="7" t="n">
        <v>15</v>
      </c>
      <c r="F61" s="6" t="n">
        <v>15</v>
      </c>
      <c r="G61" s="6" t="n">
        <v>0</v>
      </c>
      <c r="H61" s="8" t="n">
        <v>1</v>
      </c>
      <c r="I61" s="6" t="s">
        <v>118</v>
      </c>
      <c r="J61" s="6" t="s">
        <v>15</v>
      </c>
    </row>
    <row r="62" customFormat="false" ht="15" hidden="false" customHeight="true" outlineLevel="0" collapsed="false">
      <c r="A62" s="6" t="s">
        <v>128</v>
      </c>
      <c r="B62" s="6" t="s">
        <v>123</v>
      </c>
      <c r="C62" s="6" t="s">
        <v>129</v>
      </c>
      <c r="D62" s="6" t="s">
        <v>130</v>
      </c>
      <c r="E62" s="7" t="n">
        <v>15</v>
      </c>
      <c r="F62" s="6" t="n">
        <v>15</v>
      </c>
      <c r="G62" s="6" t="n">
        <v>0</v>
      </c>
      <c r="H62" s="8" t="n">
        <v>1</v>
      </c>
      <c r="I62" s="6" t="s">
        <v>118</v>
      </c>
      <c r="J62" s="6" t="s">
        <v>15</v>
      </c>
    </row>
    <row r="63" customFormat="false" ht="15" hidden="false" customHeight="true" outlineLevel="0" collapsed="false">
      <c r="A63" s="6" t="s">
        <v>128</v>
      </c>
      <c r="B63" s="6" t="s">
        <v>123</v>
      </c>
      <c r="C63" s="6" t="s">
        <v>131</v>
      </c>
      <c r="D63" s="6" t="s">
        <v>130</v>
      </c>
      <c r="E63" s="7" t="n">
        <v>15</v>
      </c>
      <c r="F63" s="6" t="n">
        <v>15</v>
      </c>
      <c r="G63" s="6" t="n">
        <v>0</v>
      </c>
      <c r="H63" s="8" t="n">
        <v>1</v>
      </c>
      <c r="I63" s="6" t="s">
        <v>118</v>
      </c>
      <c r="J63" s="6" t="s">
        <v>15</v>
      </c>
    </row>
    <row r="64" customFormat="false" ht="15" hidden="false" customHeight="true" outlineLevel="0" collapsed="false">
      <c r="A64" s="6" t="s">
        <v>132</v>
      </c>
      <c r="B64" s="6" t="s">
        <v>133</v>
      </c>
      <c r="C64" s="6" t="s">
        <v>134</v>
      </c>
      <c r="D64" s="6" t="s">
        <v>130</v>
      </c>
      <c r="E64" s="7" t="n">
        <v>5</v>
      </c>
      <c r="F64" s="6" t="n">
        <v>5</v>
      </c>
      <c r="G64" s="6" t="n">
        <v>0</v>
      </c>
      <c r="H64" s="8" t="n">
        <v>1</v>
      </c>
      <c r="I64" s="6" t="s">
        <v>118</v>
      </c>
      <c r="J64" s="6" t="s">
        <v>15</v>
      </c>
    </row>
    <row r="65" customFormat="false" ht="15" hidden="false" customHeight="true" outlineLevel="0" collapsed="false">
      <c r="A65" s="6" t="s">
        <v>135</v>
      </c>
      <c r="B65" s="6" t="s">
        <v>136</v>
      </c>
      <c r="C65" s="6" t="s">
        <v>137</v>
      </c>
      <c r="D65" s="6" t="s">
        <v>138</v>
      </c>
      <c r="E65" s="7" t="n">
        <v>5</v>
      </c>
      <c r="F65" s="6" t="n">
        <v>5</v>
      </c>
      <c r="G65" s="6" t="n">
        <v>0</v>
      </c>
      <c r="H65" s="8" t="n">
        <v>1</v>
      </c>
      <c r="I65" s="6" t="s">
        <v>118</v>
      </c>
      <c r="J65" s="6" t="s">
        <v>15</v>
      </c>
    </row>
    <row r="66" customFormat="false" ht="15" hidden="false" customHeight="tru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</row>
    <row r="67" customFormat="false" ht="15" hidden="false" customHeight="true" outlineLevel="0" collapsed="false"/>
    <row r="68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5" activeCellId="0" sqref="D5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5" min="4" style="1" width="13"/>
  </cols>
  <sheetData>
    <row r="1" customFormat="false" ht="19.5" hidden="false" customHeight="true" outlineLevel="0" collapsed="false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</row>
    <row r="2" customFormat="false" ht="15" hidden="false" customHeight="true" outlineLevel="0" collapsed="false">
      <c r="A2" s="1" t="n">
        <f aca="false">SUM('liste des taches'!E2:E57)</f>
        <v>815</v>
      </c>
      <c r="B2" s="1" t="n">
        <f aca="false">SUM('liste des taches'!F2:F57)</f>
        <v>805</v>
      </c>
      <c r="C2" s="1" t="n">
        <f aca="false">SUM('liste des taches'!G2:G57)</f>
        <v>10</v>
      </c>
      <c r="D2" s="9" t="n">
        <f aca="false">(B2/(B2+C2))</f>
        <v>0.987730061349693</v>
      </c>
      <c r="E2" s="9" t="n">
        <f aca="false">((B2+C2)-A2)/A2</f>
        <v>0</v>
      </c>
    </row>
    <row r="3" customFormat="false" ht="15" hidden="false" customHeight="true" outlineLevel="0" collapsed="false">
      <c r="D3" s="1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8"/>
  <sheetViews>
    <sheetView showFormulas="false" showGridLines="true" showRowColHeaders="true" showZeros="true" rightToLeft="false" tabSelected="false" showOutlineSymbols="true" defaultGridColor="true" view="normal" topLeftCell="A46" colorId="64" zoomScale="110" zoomScaleNormal="11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</cols>
  <sheetData>
    <row r="1" customFormat="false" ht="15" hidden="false" customHeight="true" outlineLevel="0" collapsed="false">
      <c r="A1" s="10" t="s">
        <v>145</v>
      </c>
      <c r="B1" s="2" t="s">
        <v>146</v>
      </c>
    </row>
    <row r="2" customFormat="false" ht="15" hidden="false" customHeight="true" outlineLevel="0" collapsed="false">
      <c r="A2" s="1" t="n">
        <v>1</v>
      </c>
      <c r="B2" s="1" t="n">
        <f aca="false">SUM(C2:Z2)</f>
        <v>0</v>
      </c>
    </row>
    <row r="3" customFormat="false" ht="15" hidden="false" customHeight="true" outlineLevel="0" collapsed="false">
      <c r="A3" s="1" t="n">
        <v>2</v>
      </c>
      <c r="B3" s="1" t="n">
        <f aca="false">SUM(C3:Z3)</f>
        <v>0</v>
      </c>
    </row>
    <row r="4" customFormat="false" ht="15" hidden="false" customHeight="true" outlineLevel="0" collapsed="false">
      <c r="A4" s="1" t="n">
        <v>3</v>
      </c>
      <c r="B4" s="1" t="n">
        <f aca="false">SUM(C4:Z4)</f>
        <v>0</v>
      </c>
    </row>
    <row r="5" customFormat="false" ht="15" hidden="false" customHeight="true" outlineLevel="0" collapsed="false">
      <c r="A5" s="1" t="n">
        <v>4</v>
      </c>
      <c r="B5" s="1" t="n">
        <f aca="false">SUM(C5:Z5)</f>
        <v>0</v>
      </c>
    </row>
    <row r="6" customFormat="false" ht="15" hidden="false" customHeight="true" outlineLevel="0" collapsed="false">
      <c r="A6" s="1" t="n">
        <v>5</v>
      </c>
      <c r="B6" s="1" t="n">
        <f aca="false">SUM(C6:Z6)</f>
        <v>0</v>
      </c>
    </row>
    <row r="7" customFormat="false" ht="15" hidden="false" customHeight="true" outlineLevel="0" collapsed="false">
      <c r="A7" s="1" t="n">
        <v>6</v>
      </c>
      <c r="B7" s="1" t="n">
        <f aca="false">SUM(C7:Z7)</f>
        <v>0</v>
      </c>
    </row>
    <row r="8" customFormat="false" ht="15" hidden="false" customHeight="true" outlineLevel="0" collapsed="false">
      <c r="A8" s="1" t="n">
        <v>7</v>
      </c>
      <c r="B8" s="1" t="n">
        <f aca="false">SUM(C8:Z8)</f>
        <v>0</v>
      </c>
    </row>
    <row r="9" customFormat="false" ht="15" hidden="false" customHeight="true" outlineLevel="0" collapsed="false">
      <c r="A9" s="1" t="n">
        <v>8</v>
      </c>
      <c r="B9" s="1" t="n">
        <f aca="false">SUM(C9:Z9)</f>
        <v>0</v>
      </c>
    </row>
    <row r="10" customFormat="false" ht="15" hidden="false" customHeight="true" outlineLevel="0" collapsed="false">
      <c r="A10" s="1" t="n">
        <v>9</v>
      </c>
      <c r="B10" s="1" t="n">
        <f aca="false">SUM(C10:Z10)</f>
        <v>0</v>
      </c>
    </row>
    <row r="11" customFormat="false" ht="15" hidden="false" customHeight="true" outlineLevel="0" collapsed="false">
      <c r="A11" s="1" t="n">
        <v>10</v>
      </c>
      <c r="B11" s="1" t="n">
        <f aca="false">SUM(C11:Z11)</f>
        <v>0</v>
      </c>
    </row>
    <row r="12" customFormat="false" ht="15" hidden="false" customHeight="true" outlineLevel="0" collapsed="false">
      <c r="A12" s="1" t="n">
        <v>11</v>
      </c>
      <c r="B12" s="1" t="n">
        <f aca="false">SUM(C12:Z12)</f>
        <v>0</v>
      </c>
    </row>
    <row r="13" customFormat="false" ht="15" hidden="false" customHeight="true" outlineLevel="0" collapsed="false">
      <c r="A13" s="1" t="n">
        <v>12</v>
      </c>
      <c r="B13" s="1" t="n">
        <f aca="false">SUM(C13:Z13)</f>
        <v>0</v>
      </c>
    </row>
    <row r="14" customFormat="false" ht="15" hidden="false" customHeight="true" outlineLevel="0" collapsed="false">
      <c r="A14" s="1" t="n">
        <v>13</v>
      </c>
      <c r="B14" s="1" t="n">
        <f aca="false">SUM(C14:Z14)</f>
        <v>0</v>
      </c>
    </row>
    <row r="15" customFormat="false" ht="15" hidden="false" customHeight="true" outlineLevel="0" collapsed="false">
      <c r="A15" s="1" t="n">
        <v>14</v>
      </c>
      <c r="B15" s="1" t="n">
        <f aca="false">SUM(C15:Z15)</f>
        <v>0</v>
      </c>
    </row>
    <row r="16" customFormat="false" ht="15" hidden="false" customHeight="true" outlineLevel="0" collapsed="false">
      <c r="A16" s="1" t="n">
        <v>15</v>
      </c>
      <c r="B16" s="1" t="n">
        <f aca="false">SUM(C16:Z16)</f>
        <v>0</v>
      </c>
    </row>
    <row r="17" customFormat="false" ht="15" hidden="false" customHeight="true" outlineLevel="0" collapsed="false">
      <c r="A17" s="1" t="n">
        <v>16</v>
      </c>
      <c r="B17" s="1" t="n">
        <f aca="false">SUM(C17:Z17)</f>
        <v>0</v>
      </c>
    </row>
    <row r="18" customFormat="false" ht="15" hidden="false" customHeight="true" outlineLevel="0" collapsed="false">
      <c r="A18" s="1" t="n">
        <v>17</v>
      </c>
      <c r="B18" s="1" t="n">
        <f aca="false">SUM(C18:Z18)</f>
        <v>0</v>
      </c>
    </row>
    <row r="19" customFormat="false" ht="15" hidden="false" customHeight="true" outlineLevel="0" collapsed="false">
      <c r="A19" s="1" t="n">
        <v>18</v>
      </c>
      <c r="B19" s="1" t="n">
        <f aca="false">SUM(C19:Z19)</f>
        <v>0</v>
      </c>
    </row>
    <row r="20" customFormat="false" ht="15" hidden="false" customHeight="true" outlineLevel="0" collapsed="false">
      <c r="A20" s="1" t="n">
        <v>19</v>
      </c>
      <c r="B20" s="1" t="n">
        <f aca="false">SUM(C20:Z20)</f>
        <v>0</v>
      </c>
    </row>
    <row r="21" customFormat="false" ht="15" hidden="false" customHeight="true" outlineLevel="0" collapsed="false">
      <c r="A21" s="1" t="n">
        <v>20</v>
      </c>
      <c r="B21" s="1" t="n">
        <f aca="false">SUM(C21:Z21)</f>
        <v>0</v>
      </c>
    </row>
    <row r="22" customFormat="false" ht="15" hidden="false" customHeight="true" outlineLevel="0" collapsed="false">
      <c r="A22" s="1" t="n">
        <v>21</v>
      </c>
      <c r="B22" s="1" t="n">
        <f aca="false">SUM(C22:Z22)</f>
        <v>0</v>
      </c>
    </row>
    <row r="23" customFormat="false" ht="15" hidden="false" customHeight="true" outlineLevel="0" collapsed="false">
      <c r="A23" s="1" t="n">
        <v>22</v>
      </c>
      <c r="B23" s="1" t="n">
        <f aca="false">SUM(C23:Z23)</f>
        <v>0</v>
      </c>
    </row>
    <row r="24" customFormat="false" ht="15" hidden="false" customHeight="true" outlineLevel="0" collapsed="false">
      <c r="A24" s="1" t="n">
        <v>23</v>
      </c>
      <c r="B24" s="1" t="n">
        <f aca="false">SUM(C24:Z24)</f>
        <v>0</v>
      </c>
    </row>
    <row r="25" customFormat="false" ht="15" hidden="false" customHeight="true" outlineLevel="0" collapsed="false">
      <c r="A25" s="1" t="n">
        <v>24</v>
      </c>
      <c r="B25" s="1" t="n">
        <f aca="false">SUM(C25:Z25)</f>
        <v>0</v>
      </c>
    </row>
    <row r="26" customFormat="false" ht="15" hidden="false" customHeight="true" outlineLevel="0" collapsed="false">
      <c r="A26" s="1" t="n">
        <v>25</v>
      </c>
      <c r="B26" s="1" t="n">
        <f aca="false">SUM(C26:Z26)</f>
        <v>0</v>
      </c>
    </row>
    <row r="27" customFormat="false" ht="15" hidden="false" customHeight="true" outlineLevel="0" collapsed="false">
      <c r="A27" s="1" t="n">
        <v>26</v>
      </c>
      <c r="B27" s="1" t="n">
        <f aca="false">SUM(C27:Z27)</f>
        <v>0</v>
      </c>
    </row>
    <row r="28" customFormat="false" ht="15" hidden="false" customHeight="true" outlineLevel="0" collapsed="false">
      <c r="A28" s="1" t="n">
        <v>27</v>
      </c>
      <c r="B28" s="1" t="n">
        <f aca="false">SUM(C28:Z28)</f>
        <v>0</v>
      </c>
    </row>
    <row r="29" customFormat="false" ht="15" hidden="false" customHeight="true" outlineLevel="0" collapsed="false">
      <c r="A29" s="1" t="n">
        <v>28</v>
      </c>
      <c r="B29" s="1" t="n">
        <f aca="false">SUM(C29:Z29)</f>
        <v>0</v>
      </c>
    </row>
    <row r="30" customFormat="false" ht="15" hidden="false" customHeight="true" outlineLevel="0" collapsed="false">
      <c r="A30" s="1" t="n">
        <v>29</v>
      </c>
      <c r="B30" s="1" t="n">
        <f aca="false">SUM(C30:Z30)</f>
        <v>0</v>
      </c>
    </row>
    <row r="31" customFormat="false" ht="15" hidden="false" customHeight="true" outlineLevel="0" collapsed="false">
      <c r="A31" s="1" t="n">
        <v>30</v>
      </c>
      <c r="B31" s="1" t="n">
        <f aca="false">SUM(C31:Z31)</f>
        <v>0</v>
      </c>
    </row>
    <row r="32" customFormat="false" ht="15" hidden="false" customHeight="true" outlineLevel="0" collapsed="false">
      <c r="A32" s="1" t="n">
        <v>31</v>
      </c>
      <c r="B32" s="1" t="n">
        <f aca="false">SUM(C32:Z32)</f>
        <v>0</v>
      </c>
    </row>
    <row r="33" customFormat="false" ht="15" hidden="false" customHeight="true" outlineLevel="0" collapsed="false">
      <c r="A33" s="1" t="n">
        <v>32</v>
      </c>
      <c r="B33" s="1" t="n">
        <f aca="false">SUM(C33:Z33)</f>
        <v>0</v>
      </c>
    </row>
    <row r="34" customFormat="false" ht="15" hidden="false" customHeight="true" outlineLevel="0" collapsed="false">
      <c r="A34" s="1" t="n">
        <v>33</v>
      </c>
      <c r="B34" s="1" t="n">
        <f aca="false">SUM(C34:Z34)</f>
        <v>0</v>
      </c>
    </row>
    <row r="35" customFormat="false" ht="15" hidden="false" customHeight="true" outlineLevel="0" collapsed="false">
      <c r="A35" s="1" t="n">
        <v>34</v>
      </c>
      <c r="B35" s="1" t="n">
        <f aca="false">SUM(C35:Z35)</f>
        <v>0</v>
      </c>
    </row>
    <row r="36" customFormat="false" ht="15" hidden="false" customHeight="true" outlineLevel="0" collapsed="false">
      <c r="A36" s="1" t="n">
        <v>35</v>
      </c>
      <c r="B36" s="1" t="n">
        <f aca="false">SUM(C36:Z36)</f>
        <v>0</v>
      </c>
    </row>
    <row r="37" customFormat="false" ht="15" hidden="false" customHeight="true" outlineLevel="0" collapsed="false">
      <c r="A37" s="1" t="n">
        <v>36</v>
      </c>
      <c r="B37" s="1" t="n">
        <f aca="false">SUM(C37:Z37)</f>
        <v>0</v>
      </c>
    </row>
    <row r="38" customFormat="false" ht="15" hidden="false" customHeight="true" outlineLevel="0" collapsed="false">
      <c r="A38" s="1" t="n">
        <v>37</v>
      </c>
      <c r="B38" s="1" t="n">
        <f aca="false">SUM(C38:Z38)</f>
        <v>0</v>
      </c>
    </row>
    <row r="39" customFormat="false" ht="15" hidden="false" customHeight="true" outlineLevel="0" collapsed="false">
      <c r="A39" s="1" t="n">
        <v>38</v>
      </c>
      <c r="B39" s="1" t="n">
        <f aca="false">SUM(C39:Z39)</f>
        <v>0</v>
      </c>
    </row>
    <row r="40" customFormat="false" ht="15" hidden="false" customHeight="true" outlineLevel="0" collapsed="false">
      <c r="A40" s="1" t="n">
        <v>39</v>
      </c>
      <c r="B40" s="1" t="n">
        <f aca="false">SUM(C40:Z40)</f>
        <v>0</v>
      </c>
    </row>
    <row r="41" customFormat="false" ht="15" hidden="false" customHeight="true" outlineLevel="0" collapsed="false">
      <c r="A41" s="1" t="n">
        <v>40</v>
      </c>
      <c r="B41" s="1" t="n">
        <f aca="false">SUM(C41:Z41)</f>
        <v>0</v>
      </c>
    </row>
    <row r="42" customFormat="false" ht="15" hidden="false" customHeight="true" outlineLevel="0" collapsed="false">
      <c r="A42" s="1" t="n">
        <v>41</v>
      </c>
      <c r="B42" s="1" t="n">
        <f aca="false">SUM(C42:Z42)</f>
        <v>0</v>
      </c>
    </row>
    <row r="43" customFormat="false" ht="15" hidden="false" customHeight="true" outlineLevel="0" collapsed="false">
      <c r="A43" s="1" t="n">
        <v>42</v>
      </c>
      <c r="B43" s="1" t="n">
        <f aca="false">SUM(C43:Z43)</f>
        <v>0</v>
      </c>
    </row>
    <row r="44" customFormat="false" ht="15" hidden="false" customHeight="true" outlineLevel="0" collapsed="false">
      <c r="A44" s="1" t="n">
        <v>43</v>
      </c>
      <c r="B44" s="1" t="n">
        <f aca="false">SUM(C44:Z44)</f>
        <v>0</v>
      </c>
    </row>
    <row r="45" customFormat="false" ht="15" hidden="false" customHeight="true" outlineLevel="0" collapsed="false">
      <c r="A45" s="1" t="n">
        <v>44</v>
      </c>
      <c r="B45" s="1" t="n">
        <f aca="false">SUM(C45:Z45)</f>
        <v>0</v>
      </c>
    </row>
    <row r="46" customFormat="false" ht="15" hidden="false" customHeight="true" outlineLevel="0" collapsed="false">
      <c r="A46" s="1" t="n">
        <v>45</v>
      </c>
      <c r="B46" s="1" t="n">
        <f aca="false">SUM(C46:Z46)</f>
        <v>0</v>
      </c>
    </row>
    <row r="47" customFormat="false" ht="15" hidden="false" customHeight="true" outlineLevel="0" collapsed="false">
      <c r="A47" s="1" t="n">
        <v>46</v>
      </c>
      <c r="B47" s="1" t="n">
        <f aca="false">SUM(C47:Z47)</f>
        <v>0</v>
      </c>
    </row>
    <row r="48" customFormat="false" ht="15" hidden="false" customHeight="true" outlineLevel="0" collapsed="false">
      <c r="A48" s="1" t="n">
        <v>47</v>
      </c>
      <c r="B48" s="1" t="n">
        <f aca="false">SUM(C48:Z48)</f>
        <v>0</v>
      </c>
    </row>
    <row r="49" customFormat="false" ht="15" hidden="false" customHeight="true" outlineLevel="0" collapsed="false">
      <c r="A49" s="1" t="n">
        <v>48</v>
      </c>
      <c r="B49" s="1" t="n">
        <f aca="false">SUM(C49:Z49)</f>
        <v>0</v>
      </c>
    </row>
    <row r="50" customFormat="false" ht="15" hidden="false" customHeight="true" outlineLevel="0" collapsed="false">
      <c r="A50" s="1" t="n">
        <v>49</v>
      </c>
      <c r="B50" s="1" t="n">
        <f aca="false">SUM(C50:Z50)</f>
        <v>0</v>
      </c>
    </row>
    <row r="51" customFormat="false" ht="15" hidden="false" customHeight="true" outlineLevel="0" collapsed="false">
      <c r="A51" s="1" t="n">
        <v>50</v>
      </c>
      <c r="B51" s="1" t="n">
        <f aca="false">SUM(C51:Z51)</f>
        <v>0</v>
      </c>
    </row>
    <row r="52" customFormat="false" ht="15" hidden="false" customHeight="true" outlineLevel="0" collapsed="false">
      <c r="A52" s="1" t="n">
        <v>51</v>
      </c>
      <c r="B52" s="1" t="n">
        <f aca="false">SUM(C52:Z52)</f>
        <v>0</v>
      </c>
    </row>
    <row r="53" customFormat="false" ht="15" hidden="false" customHeight="true" outlineLevel="0" collapsed="false">
      <c r="A53" s="1" t="n">
        <v>52</v>
      </c>
      <c r="B53" s="1" t="n">
        <f aca="false">SUM(C53:Z53)</f>
        <v>0</v>
      </c>
    </row>
    <row r="54" customFormat="false" ht="15" hidden="false" customHeight="true" outlineLevel="0" collapsed="false">
      <c r="A54" s="1" t="n">
        <v>53</v>
      </c>
      <c r="B54" s="1" t="n">
        <f aca="false">SUM(C54:Z54)</f>
        <v>0</v>
      </c>
    </row>
    <row r="55" customFormat="false" ht="15" hidden="false" customHeight="true" outlineLevel="0" collapsed="false">
      <c r="A55" s="1" t="n">
        <v>54</v>
      </c>
      <c r="B55" s="1" t="n">
        <f aca="false">SUM(C55:Z55)</f>
        <v>0</v>
      </c>
    </row>
    <row r="56" customFormat="false" ht="15" hidden="false" customHeight="true" outlineLevel="0" collapsed="false">
      <c r="A56" s="1" t="n">
        <v>55</v>
      </c>
      <c r="B56" s="1" t="n">
        <f aca="false">SUM(C56:Z56)</f>
        <v>0</v>
      </c>
    </row>
    <row r="57" customFormat="false" ht="15" hidden="false" customHeight="true" outlineLevel="0" collapsed="false">
      <c r="A57" s="1" t="n">
        <v>56</v>
      </c>
      <c r="B57" s="1" t="n">
        <f aca="false">SUM(C57:Z57)</f>
        <v>0</v>
      </c>
    </row>
    <row r="58" customFormat="false" ht="15" hidden="false" customHeight="true" outlineLevel="0" collapsed="false">
      <c r="A58" s="1" t="n">
        <v>57</v>
      </c>
      <c r="B58" s="1" t="n">
        <f aca="false">SUM(C58:Z58)</f>
        <v>0</v>
      </c>
    </row>
    <row r="59" customFormat="false" ht="15" hidden="false" customHeight="true" outlineLevel="0" collapsed="false">
      <c r="A59" s="1" t="n">
        <v>58</v>
      </c>
      <c r="B59" s="1" t="n">
        <f aca="false">SUM(C59:Z59)</f>
        <v>0</v>
      </c>
    </row>
    <row r="60" customFormat="false" ht="15" hidden="false" customHeight="true" outlineLevel="0" collapsed="false">
      <c r="A60" s="1" t="n">
        <v>59</v>
      </c>
      <c r="B60" s="1" t="n">
        <f aca="false">SUM(C60:Z60)</f>
        <v>0</v>
      </c>
    </row>
    <row r="61" customFormat="false" ht="15" hidden="false" customHeight="true" outlineLevel="0" collapsed="false">
      <c r="A61" s="1" t="n">
        <v>60</v>
      </c>
      <c r="B61" s="1" t="n">
        <f aca="false">SUM(C61:Z61)</f>
        <v>0</v>
      </c>
    </row>
    <row r="62" customFormat="false" ht="15" hidden="false" customHeight="true" outlineLevel="0" collapsed="false">
      <c r="A62" s="1" t="n">
        <v>61</v>
      </c>
      <c r="B62" s="1" t="n">
        <f aca="false">SUM(C62:Z62)</f>
        <v>0</v>
      </c>
    </row>
    <row r="63" customFormat="false" ht="15" hidden="false" customHeight="true" outlineLevel="0" collapsed="false">
      <c r="A63" s="1" t="n">
        <v>62</v>
      </c>
      <c r="B63" s="1" t="n">
        <f aca="false">SUM(C63:Z63)</f>
        <v>0</v>
      </c>
    </row>
    <row r="64" customFormat="false" ht="15" hidden="false" customHeight="true" outlineLevel="0" collapsed="false">
      <c r="A64" s="1" t="n">
        <v>63</v>
      </c>
      <c r="B64" s="1" t="n">
        <f aca="false">SUM(C64:Z64)</f>
        <v>0</v>
      </c>
    </row>
    <row r="65" customFormat="false" ht="15" hidden="false" customHeight="true" outlineLevel="0" collapsed="false">
      <c r="A65" s="1" t="n">
        <v>64</v>
      </c>
      <c r="B65" s="1" t="n">
        <f aca="false">SUM(C65:Z65)</f>
        <v>0</v>
      </c>
    </row>
    <row r="66" customFormat="false" ht="15" hidden="false" customHeight="true" outlineLevel="0" collapsed="false">
      <c r="A66" s="1" t="n">
        <v>65</v>
      </c>
      <c r="B66" s="1" t="n">
        <f aca="false">SUM(C66:Z66)</f>
        <v>0</v>
      </c>
    </row>
    <row r="67" customFormat="false" ht="15" hidden="false" customHeight="true" outlineLevel="0" collapsed="false">
      <c r="A67" s="1" t="n">
        <v>66</v>
      </c>
      <c r="B67" s="1" t="n">
        <f aca="false">SUM(C67:Z67)</f>
        <v>0</v>
      </c>
    </row>
    <row r="68" customFormat="false" ht="15" hidden="false" customHeight="true" outlineLevel="0" collapsed="false">
      <c r="A68" s="1" t="n">
        <v>67</v>
      </c>
      <c r="B68" s="1" t="n">
        <f aca="false">SUM(C68:Z68)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2026-05-13T09:05:12Z</dcterms:created>
  <dc:creator>openpyxl</dc:creator>
  <dc:description/>
  <dc:language>fr-FR</dc:language>
  <cp:lastModifiedBy/>
  <dcterms:modified xsi:type="dcterms:W3CDTF">2026-05-20T10:57:04Z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